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141664\Downloads\"/>
    </mc:Choice>
  </mc:AlternateContent>
  <xr:revisionPtr revIDLastSave="0" documentId="13_ncr:1_{F9E53CD2-2A1A-4361-AE4B-83939E481A0D}" xr6:coauthVersionLast="47" xr6:coauthVersionMax="47" xr10:uidLastSave="{00000000-0000-0000-0000-000000000000}"/>
  <bookViews>
    <workbookView xWindow="-108" yWindow="-108" windowWidth="23256" windowHeight="12456" tabRatio="84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3" l="1"/>
  <c r="F20" i="3"/>
</calcChain>
</file>

<file path=xl/sharedStrings.xml><?xml version="1.0" encoding="utf-8"?>
<sst xmlns="http://schemas.openxmlformats.org/spreadsheetml/2006/main" count="2023" uniqueCount="326">
  <si>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</si>
  <si>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</si>
  <si>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</si>
  <si>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</si>
  <si>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</si>
  <si>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</si>
  <si>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</si>
  <si>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</si>
  <si>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</si>
  <si>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</si>
  <si>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</si>
  <si>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</si>
  <si>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</si>
  <si>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</si>
  <si>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</si>
  <si>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</si>
  <si>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</si>
  <si>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</si>
  <si>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</si>
  <si>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</si>
  <si>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</si>
  <si>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</si>
  <si>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</si>
  <si>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</si>
  <si>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</si>
  <si>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</si>
  <si>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</si>
  <si>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</si>
  <si>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</si>
  <si>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</si>
  <si>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</si>
  <si>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</si>
  <si>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</si>
  <si>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</si>
  <si>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</si>
  <si>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</si>
  <si>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</si>
  <si>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</si>
  <si>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</si>
  <si>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</si>
  <si>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</si>
  <si>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</si>
  <si>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</si>
  <si>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</si>
  <si>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</si>
  <si>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</si>
  <si>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</si>
  <si>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</si>
  <si>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</si>
  <si>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</si>
  <si>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</si>
  <si>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</si>
  <si>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</si>
  <si>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</si>
  <si>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</si>
  <si>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</si>
  <si>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</si>
  <si>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</si>
  <si>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</si>
  <si>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</si>
  <si>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</si>
  <si>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</si>
  <si>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</si>
  <si>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</si>
  <si>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</si>
  <si>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</si>
  <si>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</si>
  <si>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</si>
  <si>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</si>
  <si>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</si>
  <si>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</si>
  <si>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</si>
  <si>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</si>
  <si>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</si>
  <si>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</si>
  <si>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</si>
  <si>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</si>
  <si>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</si>
  <si>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</si>
  <si>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</si>
  <si>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</si>
  <si>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</si>
  <si>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</si>
  <si>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</si>
  <si>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</si>
  <si>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</si>
  <si>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</si>
  <si>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</si>
  <si>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</si>
  <si>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</si>
  <si>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</si>
  <si>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</si>
  <si>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</si>
  <si>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</si>
  <si>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</si>
  <si>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</si>
  <si>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</si>
  <si>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</si>
  <si>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</si>
  <si>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</si>
  <si>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</si>
  <si>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</si>
  <si>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</si>
  <si>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</si>
  <si>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</si>
  <si>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</si>
  <si>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</si>
  <si>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</si>
  <si>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</si>
  <si>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</si>
  <si>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</si>
  <si>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</si>
  <si>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</si>
  <si>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</si>
  <si>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</si>
  <si>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</si>
  <si>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</si>
  <si>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</si>
  <si>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</si>
  <si>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</si>
  <si>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</si>
  <si>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</si>
  <si>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</si>
  <si>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</si>
  <si>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</si>
  <si>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</si>
  <si>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</si>
  <si>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</si>
  <si>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</si>
  <si>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</si>
  <si>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</si>
  <si>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</si>
  <si>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</si>
  <si>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</si>
  <si>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</si>
  <si>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</si>
  <si>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</si>
  <si>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</si>
  <si>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</si>
  <si>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</si>
  <si>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</si>
  <si>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</si>
  <si>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</si>
  <si>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</si>
  <si>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</si>
  <si>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</si>
  <si>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</si>
  <si>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</si>
  <si>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</si>
  <si>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</si>
  <si>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</si>
  <si>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</si>
  <si>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</si>
  <si>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</si>
  <si>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</si>
  <si>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</si>
  <si>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</si>
  <si>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</si>
  <si>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</si>
  <si>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</si>
  <si>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</si>
  <si>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</si>
  <si>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</si>
  <si>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</si>
  <si>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</si>
  <si>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</si>
  <si>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</si>
  <si>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</si>
  <si>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</si>
  <si>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</si>
  <si>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</si>
  <si>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</si>
  <si>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</si>
  <si>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</si>
  <si>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</si>
  <si>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</si>
  <si>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</si>
  <si>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</si>
  <si>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</si>
  <si>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</si>
  <si>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</si>
  <si>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</si>
  <si>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</si>
  <si>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</si>
  <si>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</si>
  <si>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</si>
  <si>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</si>
  <si>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</si>
  <si>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</si>
  <si>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</si>
  <si>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</si>
  <si>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</si>
  <si>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</si>
  <si>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</si>
  <si>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</si>
  <si>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</si>
  <si>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</si>
  <si>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</si>
  <si>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</si>
  <si>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</si>
  <si>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</si>
  <si>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</si>
  <si>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</si>
  <si>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</si>
  <si>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</si>
  <si>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</si>
  <si>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</si>
  <si>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</si>
  <si>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</si>
  <si>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</si>
  <si>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</si>
  <si>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</si>
  <si>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</si>
  <si>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</si>
  <si>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</si>
  <si>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</si>
  <si>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</si>
  <si>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</si>
  <si>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</si>
  <si>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</si>
  <si>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</si>
  <si>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</si>
  <si>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</si>
  <si>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</si>
  <si>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</si>
  <si>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</si>
  <si>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</si>
  <si>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</si>
  <si>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</si>
  <si>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</si>
  <si>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</si>
  <si>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</si>
  <si>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</si>
  <si>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</si>
  <si>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</si>
  <si>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</si>
  <si>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</si>
  <si>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</si>
  <si>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</si>
  <si>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</si>
  <si>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</si>
  <si>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</si>
  <si>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</si>
  <si>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</si>
  <si>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</si>
  <si>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</si>
  <si>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</si>
  <si>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</si>
  <si>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</si>
  <si>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</si>
  <si>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</si>
  <si>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</si>
  <si>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</si>
  <si>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</si>
  <si>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</si>
  <si>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</si>
  <si>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</si>
  <si>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</si>
  <si>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</si>
  <si>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</si>
  <si>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</si>
  <si>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</si>
  <si>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</si>
  <si>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</si>
  <si>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</si>
  <si>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</si>
  <si>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</si>
  <si>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</si>
  <si>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</si>
  <si>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</si>
  <si>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</si>
  <si>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</si>
  <si>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</si>
  <si>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</si>
  <si>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</si>
  <si>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</si>
  <si>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</si>
  <si>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</si>
  <si>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</si>
  <si>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</si>
  <si>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</si>
  <si>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</si>
  <si>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</si>
  <si>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</si>
  <si>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</si>
  <si>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</si>
  <si>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</si>
  <si>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</si>
  <si>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</si>
  <si>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</si>
  <si>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</si>
  <si>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</si>
  <si>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</si>
  <si>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</si>
  <si>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</si>
  <si>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</si>
  <si>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</si>
  <si>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</si>
  <si>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</si>
  <si>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</si>
  <si>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</si>
  <si>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</si>
  <si>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</si>
  <si>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</si>
  <si>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</si>
  <si>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</si>
  <si>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</si>
  <si>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</si>
  <si>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</si>
  <si>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</si>
  <si>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</si>
  <si>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</si>
  <si>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</si>
  <si>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 1: Qual o faturamento total de Vendas de planos anuais contendo compras agregadas?</t>
  </si>
  <si>
    <t>Pergunta de Negócio 2: Qual o faturamento total de Vendas de planos anuais por renovação automática e sem renovação automática?</t>
  </si>
  <si>
    <t>(Tudo)</t>
  </si>
  <si>
    <t>Rótulos de Linha</t>
  </si>
  <si>
    <t>Total Geral</t>
  </si>
  <si>
    <t>Soma de Total Value</t>
  </si>
  <si>
    <t>XBOX GAME PASS SUBSCRIPTIONS SALES</t>
  </si>
  <si>
    <t>Pergunta de Negócio 3: Total de Vendas de Assinaturas do EA Play</t>
  </si>
  <si>
    <t>Soma de EA Play Season Pass</t>
  </si>
  <si>
    <t>Pergunta de Negócio 4: Total de Vendas de Assinaturas do Minecraft Season Pass</t>
  </si>
  <si>
    <t>Soma de Minecraft Season Pass Price</t>
  </si>
  <si>
    <t>Bem Vindo Leonardo</t>
  </si>
  <si>
    <t>Calculation period 01/01/2024 até 31/12/2024 | Updated date 01/10/2026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</si>
</sst>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3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3" fillId="0" borderId="0" xfId="0" applyNumberFormat="1" applyFont="1" applyAlignment="1">
      <alignment horizontal="center" vertical="center" wrapText="1"/>
    </xf>
    <xf numFmtId="44" fontId="0" fillId="0" borderId="0" xfId="2" applyNumberFormat="1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3" xfId="0" applyBorder="1"/>
    <xf numFmtId="165" fontId="0" fillId="0" borderId="0" xfId="2" applyNumberFormat="1" applyFont="1"/>
    <xf numFmtId="165" fontId="0" fillId="0" borderId="0" xfId="0" applyNumberFormat="1"/>
    <xf numFmtId="0" fontId="4" fillId="0" borderId="0" xfId="3" applyBorder="1"/>
    <xf numFmtId="0" fontId="0" fillId="0" borderId="0" xfId="0" applyBorder="1"/>
    <xf numFmtId="0" fontId="5" fillId="0" borderId="0" xfId="3" applyFont="1" applyBorder="1" applyAlignment="1">
      <alignment horizontal="left" indent="12"/>
    </xf>
    <xf numFmtId="0" fontId="3" fillId="4" borderId="0" xfId="0" applyFont="1" applyFill="1"/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28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08E26080-8B10-4F67-8ABA-82DD909B365D}">
      <tableStyleElement type="wholeTable" dxfId="12"/>
      <tableStyleElement type="headerRow" dxfId="11"/>
    </tableStyle>
  </tableStyles>
  <colors>
    <mruColors>
      <color rgb="FF22C55E"/>
      <color rgb="FF2AE6B1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[Dados.xlsx]C̳álculos!tbl_annual_total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C̳álculos!$D$8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C̳álculos!$C$9:$C$11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C̳álculos!$D$9:$D$11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9-4C0A-A294-E991BC816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2051408719"/>
        <c:axId val="2051416879"/>
      </c:barChart>
      <c:catAx>
        <c:axId val="2051408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1416879"/>
        <c:crosses val="autoZero"/>
        <c:auto val="1"/>
        <c:lblAlgn val="ctr"/>
        <c:lblOffset val="100"/>
        <c:noMultiLvlLbl val="0"/>
      </c:catAx>
      <c:valAx>
        <c:axId val="205141687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5140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1979274</xdr:colOff>
      <xdr:row>0</xdr:row>
      <xdr:rowOff>1</xdr:rowOff>
    </xdr:from>
    <xdr:to>
      <xdr:col>1</xdr:col>
      <xdr:colOff>647700</xdr:colOff>
      <xdr:row>2</xdr:row>
      <xdr:rowOff>133351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40056E-54BF-4E06-8A75-AB21CCAF18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74961"/>
        <a:stretch/>
      </xdr:blipFill>
      <xdr:spPr>
        <a:xfrm>
          <a:off x="1979274" y="1"/>
          <a:ext cx="697251" cy="7810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514350</xdr:colOff>
      <xdr:row>14</xdr:row>
      <xdr:rowOff>123825</xdr:rowOff>
    </xdr:from>
    <xdr:to>
      <xdr:col>11</xdr:col>
      <xdr:colOff>161925</xdr:colOff>
      <xdr:row>31</xdr:row>
      <xdr:rowOff>123825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0B3FD590-7384-A95C-916A-3FB01C0F9FB3}"/>
            </a:ext>
          </a:extLst>
        </xdr:cNvPr>
        <xdr:cNvGrpSpPr/>
      </xdr:nvGrpSpPr>
      <xdr:grpSpPr>
        <a:xfrm>
          <a:off x="2543175" y="2943225"/>
          <a:ext cx="5934075" cy="3076575"/>
          <a:chOff x="2543175" y="1000125"/>
          <a:chExt cx="5934075" cy="3076575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F133C91D-6F17-47AC-1B59-86F8081C6A70}"/>
              </a:ext>
            </a:extLst>
          </xdr:cNvPr>
          <xdr:cNvSpPr/>
        </xdr:nvSpPr>
        <xdr:spPr>
          <a:xfrm>
            <a:off x="2543175" y="1000125"/>
            <a:ext cx="5934075" cy="307657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0D801729-BFF6-4043-B1FC-F6C735F50ABD}"/>
              </a:ext>
            </a:extLst>
          </xdr:cNvPr>
          <xdr:cNvGraphicFramePr>
            <a:graphicFrameLocks/>
          </xdr:cNvGraphicFramePr>
        </xdr:nvGraphicFramePr>
        <xdr:xfrm>
          <a:off x="2764154" y="1295399"/>
          <a:ext cx="5503545" cy="26955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0</xdr:col>
      <xdr:colOff>2</xdr:colOff>
      <xdr:row>6</xdr:row>
      <xdr:rowOff>85726</xdr:rowOff>
    </xdr:from>
    <xdr:to>
      <xdr:col>1</xdr:col>
      <xdr:colOff>1</xdr:colOff>
      <xdr:row>13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8D7CAB0C-67A1-4291-83FA-223CD17BA6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" y="1457326"/>
              <a:ext cx="2028824" cy="12953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628649</xdr:colOff>
      <xdr:row>5</xdr:row>
      <xdr:rowOff>9525</xdr:rowOff>
    </xdr:from>
    <xdr:to>
      <xdr:col>7</xdr:col>
      <xdr:colOff>171450</xdr:colOff>
      <xdr:row>11</xdr:row>
      <xdr:rowOff>123825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1EF35A79-3FF6-0A4A-5483-258F91967ABA}"/>
            </a:ext>
          </a:extLst>
        </xdr:cNvPr>
        <xdr:cNvGrpSpPr/>
      </xdr:nvGrpSpPr>
      <xdr:grpSpPr>
        <a:xfrm>
          <a:off x="2657474" y="1200150"/>
          <a:ext cx="3390901" cy="1200150"/>
          <a:chOff x="2000249" y="1200150"/>
          <a:chExt cx="3390901" cy="1200150"/>
        </a:xfrm>
      </xdr:grpSpPr>
      <xdr:sp macro="" textlink="">
        <xdr:nvSpPr>
          <xdr:cNvPr id="8" name="Retângulo: Cantos Superiores Arredondados 7">
            <a:extLst>
              <a:ext uri="{FF2B5EF4-FFF2-40B4-BE49-F238E27FC236}">
                <a16:creationId xmlns:a16="http://schemas.microsoft.com/office/drawing/2014/main" id="{E36487C1-F93C-1C5E-4702-FB0142EFC0FE}"/>
              </a:ext>
            </a:extLst>
          </xdr:cNvPr>
          <xdr:cNvSpPr/>
        </xdr:nvSpPr>
        <xdr:spPr>
          <a:xfrm>
            <a:off x="2000249" y="1238250"/>
            <a:ext cx="3390901" cy="1162050"/>
          </a:xfrm>
          <a:prstGeom prst="round2Same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0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F95DA3C5-0004-402B-A508-693B8B5C9380}"/>
              </a:ext>
            </a:extLst>
          </xdr:cNvPr>
          <xdr:cNvSpPr/>
        </xdr:nvSpPr>
        <xdr:spPr>
          <a:xfrm>
            <a:off x="2781299" y="1514475"/>
            <a:ext cx="2581275" cy="67627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2196326-0C8A-4A83-97ED-79FF730F87DE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R$ 2.940,00</a:t>
            </a:fld>
            <a:endParaRPr lang="en-US" sz="3200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1902AC34-9AC4-4B31-B935-B0F19EAEC9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09800" y="1514475"/>
            <a:ext cx="776941" cy="74295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8A62CD78-A4DD-6367-9128-C9FB718EEC65}"/>
              </a:ext>
            </a:extLst>
          </xdr:cNvPr>
          <xdr:cNvSpPr/>
        </xdr:nvSpPr>
        <xdr:spPr>
          <a:xfrm>
            <a:off x="2000250" y="1200150"/>
            <a:ext cx="3390899" cy="323850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/>
              <a:t>TOTAL</a:t>
            </a:r>
            <a:r>
              <a:rPr lang="pt-BR" sz="1100" baseline="0"/>
              <a:t> SUBSCRIPTIONS EA PLAY SEASON PASS</a:t>
            </a:r>
            <a:endParaRPr lang="pt-BR" sz="1100"/>
          </a:p>
        </xdr:txBody>
      </xdr:sp>
    </xdr:grpSp>
    <xdr:clientData/>
  </xdr:twoCellAnchor>
  <xdr:twoCellAnchor>
    <xdr:from>
      <xdr:col>8</xdr:col>
      <xdr:colOff>219075</xdr:colOff>
      <xdr:row>5</xdr:row>
      <xdr:rowOff>9525</xdr:rowOff>
    </xdr:from>
    <xdr:to>
      <xdr:col>15</xdr:col>
      <xdr:colOff>66675</xdr:colOff>
      <xdr:row>11</xdr:row>
      <xdr:rowOff>104775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8237A608-474B-A5C6-36D4-2A474ECF788B}"/>
            </a:ext>
          </a:extLst>
        </xdr:cNvPr>
        <xdr:cNvGrpSpPr/>
      </xdr:nvGrpSpPr>
      <xdr:grpSpPr>
        <a:xfrm>
          <a:off x="6705600" y="1200150"/>
          <a:ext cx="3952875" cy="1181100"/>
          <a:chOff x="7781925" y="1276350"/>
          <a:chExt cx="3952875" cy="1181100"/>
        </a:xfrm>
      </xdr:grpSpPr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6C4486FC-DF12-B278-ACBD-B743BC57E247}"/>
              </a:ext>
            </a:extLst>
          </xdr:cNvPr>
          <xdr:cNvSpPr/>
        </xdr:nvSpPr>
        <xdr:spPr>
          <a:xfrm>
            <a:off x="7781925" y="1295400"/>
            <a:ext cx="3924299" cy="1162050"/>
          </a:xfrm>
          <a:prstGeom prst="round2Same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2937B7C8-F2EA-BCE5-632D-BDB3A6AECA70}"/>
              </a:ext>
            </a:extLst>
          </xdr:cNvPr>
          <xdr:cNvSpPr/>
        </xdr:nvSpPr>
        <xdr:spPr>
          <a:xfrm>
            <a:off x="7781925" y="1276350"/>
            <a:ext cx="3924300" cy="323850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/>
              <a:t>TOTAL</a:t>
            </a:r>
            <a:r>
              <a:rPr lang="pt-BR" sz="1100" baseline="0"/>
              <a:t> SUBSCRIPTIONS MINECRAFT SEASON PASS</a:t>
            </a:r>
            <a:endParaRPr lang="pt-BR" sz="1100"/>
          </a:p>
        </xdr:txBody>
      </xdr:sp>
      <xdr:sp macro="" textlink="C̳álculos!F37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5660BF12-E6D5-31B8-11C4-A82F51EC1C83}"/>
              </a:ext>
            </a:extLst>
          </xdr:cNvPr>
          <xdr:cNvSpPr/>
        </xdr:nvSpPr>
        <xdr:spPr>
          <a:xfrm>
            <a:off x="8896350" y="1652588"/>
            <a:ext cx="2838450" cy="67627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A87F738-221C-430C-888B-70BFBFD7141F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R$ 3.880,00</a:t>
            </a:fld>
            <a:endParaRPr lang="en-US" sz="3200">
              <a:solidFill>
                <a:srgbClr val="22C55E"/>
              </a:solidFill>
            </a:endParaRPr>
          </a:p>
        </xdr:txBody>
      </xdr: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CB09525B-8BF7-45C3-B2D0-1B269B747594}"/>
              </a:ext>
            </a:extLst>
          </xdr:cNvPr>
          <xdr:cNvGrpSpPr/>
        </xdr:nvGrpSpPr>
        <xdr:grpSpPr>
          <a:xfrm>
            <a:off x="8010525" y="1652588"/>
            <a:ext cx="923925" cy="523875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6F1D63DA-71B8-D306-7C20-C0DDF475A5B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E8371720-AFD0-9744-9A8E-DBEE85ABDBC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628650</xdr:colOff>
      <xdr:row>1</xdr:row>
      <xdr:rowOff>142875</xdr:rowOff>
    </xdr:from>
    <xdr:to>
      <xdr:col>0</xdr:col>
      <xdr:colOff>1323975</xdr:colOff>
      <xdr:row>3</xdr:row>
      <xdr:rowOff>158115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9EB284DB-F06E-4ADC-B8DA-03788EAFE149}"/>
            </a:ext>
          </a:extLst>
        </xdr:cNvPr>
        <xdr:cNvSpPr/>
      </xdr:nvSpPr>
      <xdr:spPr>
        <a:xfrm>
          <a:off x="628650" y="323850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ila Amorim Panciere" refreshedDate="46296.416975810185" createdVersion="8" refreshedVersion="8" minRefreshableVersion="3" recordCount="295" xr:uid="{18BB9797-FE1D-4952-9841-18DD25C2D5E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0611882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C713E-733E-469E-9DA8-8D5A3AB1E0B8}" name="Tabela dinâmica3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C34:D38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E8E6F-15AC-41AC-AC78-4CF0F186FFB6}" name="tbl_easeasonpass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C20:D2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5C6EF-6AB3-4117-BC3F-7D869F1D899B}" name="tbl_annual_total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C8:D11" firstHeaderRow="1" firstDataRow="1" firstDataCol="1" rowPageCount="1" colPageCount="1"/>
  <pivotFields count="13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1">
    <format dxfId="13">
      <pivotArea outline="0" collapsedLevelsAreSubtotals="1" fieldPosition="0"/>
    </format>
  </format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88AB881-89F9-4B79-A356-F1A596782E19}" sourceName="Subscription Type">
  <pivotTables>
    <pivotTable tabId="3" name="tbl_annual_total"/>
    <pivotTable tabId="3" name="Tabela dinâmica3"/>
    <pivotTable tabId="3" name="tbl_easeasonpass"/>
  </pivotTables>
  <data>
    <tabular pivotCacheId="2061188295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ADC17DE-BE7C-49FB-B845-26D5E18B95D3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7">
  <autoFilter ref="A1:M296" xr:uid="{34E0E886-4200-4B36-97B3-63DB74FF40A0}"/>
  <tableColumns count="13">
    <tableColumn id="1" xr3:uid="{C4A90516-688A-46BF-9167-EA16C2A8A652}" name="Subscriber ID" dataDxfId="26"/>
    <tableColumn id="2" xr3:uid="{53DD39D0-2220-4121-9E9D-4EAA7E151C0F}" name="Name" dataDxfId="25"/>
    <tableColumn id="3" xr3:uid="{4F5FF271-4C57-4BE0-8F2C-F82C8551625C}" name="Plan" dataDxfId="24"/>
    <tableColumn id="4" xr3:uid="{8C17EB93-79B9-4E55-B8F7-BEB82F8253E9}" name="Start Date" dataDxfId="23"/>
    <tableColumn id="5" xr3:uid="{48CEDF9B-1689-482A-A828-5CCE7713264A}" name="Auto Renewal" dataDxfId="22"/>
    <tableColumn id="6" xr3:uid="{78B82374-9AA7-4E38-AE4F-78CDE6C83720}" name="Subscription Price" dataDxfId="21" dataCellStyle="Moeda"/>
    <tableColumn id="7" xr3:uid="{F2433F68-AF33-49D0-B1FB-19A396074EDE}" name="Subscription Type" dataDxfId="20"/>
    <tableColumn id="8" xr3:uid="{FD4D9C95-F6E5-4933-9068-A71FF7DF9343}" name="EA Play Season Pass" dataDxfId="19"/>
    <tableColumn id="13" xr3:uid="{978DD0D2-834E-4CE4-A39B-30976086932F}" name="EA Play Season Pass_x000a_Price" dataDxfId="18" dataCellStyle="Moeda"/>
    <tableColumn id="9" xr3:uid="{6E29F111-C395-4580-9DAD-3407D9E8B1A4}" name="Minecraft Season Pass" dataDxfId="17"/>
    <tableColumn id="10" xr3:uid="{EF544EAA-7F25-4FD5-A10E-8E62804DB9E3}" name="Minecraft Season Pass Price" dataDxfId="16" dataCellStyle="Moeda"/>
    <tableColumn id="11" xr3:uid="{7F6EB64A-1F07-4E48-9F0F-AC7D9DCD26F8}" name="Coupon Value" dataDxfId="15" dataCellStyle="Moeda"/>
    <tableColumn id="12" xr3:uid="{2B04ABC8-DE6F-426E-ADC0-D8AFC68CA58E}" name="Total Value" dataDxfId="1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B34" sqref="B34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82" zoomScale="90" zoomScaleNormal="90" workbookViewId="0">
      <selection activeCell="G35" sqref="G35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style="14" bestFit="1" customWidth="1"/>
    <col min="7" max="7" width="22" bestFit="1" customWidth="1"/>
    <col min="8" max="8" width="20.5546875" bestFit="1" customWidth="1"/>
    <col min="9" max="9" width="20.5546875" style="14" customWidth="1"/>
    <col min="10" max="10" width="16.6640625" bestFit="1" customWidth="1"/>
    <col min="11" max="11" width="21.33203125" style="14" bestFit="1" customWidth="1"/>
    <col min="12" max="12" width="12.6640625" style="14" bestFit="1" customWidth="1"/>
    <col min="13" max="13" width="10.5546875" style="14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12" t="s">
        <v>312</v>
      </c>
      <c r="G1" s="9" t="s">
        <v>16</v>
      </c>
      <c r="H1" s="9" t="s">
        <v>309</v>
      </c>
      <c r="I1" s="12" t="s">
        <v>310</v>
      </c>
      <c r="J1" s="9" t="s">
        <v>30</v>
      </c>
      <c r="K1" s="12" t="s">
        <v>31</v>
      </c>
      <c r="L1" s="12" t="s">
        <v>32</v>
      </c>
      <c r="M1" s="12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3">
        <v>15</v>
      </c>
      <c r="G2" s="8" t="s">
        <v>20</v>
      </c>
      <c r="H2" s="8" t="s">
        <v>19</v>
      </c>
      <c r="I2" s="13">
        <v>30</v>
      </c>
      <c r="J2" s="8" t="s">
        <v>19</v>
      </c>
      <c r="K2" s="13">
        <v>20</v>
      </c>
      <c r="L2" s="13">
        <v>5</v>
      </c>
      <c r="M2" s="13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3">
        <v>15</v>
      </c>
      <c r="G5" s="8" t="s">
        <v>20</v>
      </c>
      <c r="H5" s="8" t="s">
        <v>19</v>
      </c>
      <c r="I5" s="13">
        <v>30</v>
      </c>
      <c r="J5" s="8" t="s">
        <v>19</v>
      </c>
      <c r="K5" s="13">
        <v>20</v>
      </c>
      <c r="L5" s="13">
        <v>3</v>
      </c>
      <c r="M5" s="13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3">
        <v>15</v>
      </c>
      <c r="G8" s="8" t="s">
        <v>27</v>
      </c>
      <c r="H8" s="8" t="s">
        <v>19</v>
      </c>
      <c r="I8" s="13">
        <v>30</v>
      </c>
      <c r="J8" s="8" t="s">
        <v>19</v>
      </c>
      <c r="K8" s="13">
        <v>20</v>
      </c>
      <c r="L8" s="13">
        <v>10</v>
      </c>
      <c r="M8" s="13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3">
        <v>15</v>
      </c>
      <c r="G10" s="8" t="s">
        <v>20</v>
      </c>
      <c r="H10" s="8" t="s">
        <v>19</v>
      </c>
      <c r="I10" s="13">
        <v>30</v>
      </c>
      <c r="J10" s="8" t="s">
        <v>19</v>
      </c>
      <c r="K10" s="13">
        <v>20</v>
      </c>
      <c r="L10" s="13">
        <v>5</v>
      </c>
      <c r="M10" s="13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3">
        <v>15</v>
      </c>
      <c r="G13" s="8" t="s">
        <v>24</v>
      </c>
      <c r="H13" s="8" t="s">
        <v>19</v>
      </c>
      <c r="I13" s="13">
        <v>30</v>
      </c>
      <c r="J13" s="8" t="s">
        <v>19</v>
      </c>
      <c r="K13" s="13">
        <v>20</v>
      </c>
      <c r="L13" s="13">
        <v>20</v>
      </c>
      <c r="M13" s="13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3">
        <v>15</v>
      </c>
      <c r="G16" s="8" t="s">
        <v>20</v>
      </c>
      <c r="H16" s="8" t="s">
        <v>19</v>
      </c>
      <c r="I16" s="13">
        <v>30</v>
      </c>
      <c r="J16" s="8" t="s">
        <v>19</v>
      </c>
      <c r="K16" s="13">
        <v>20</v>
      </c>
      <c r="L16" s="13">
        <v>8</v>
      </c>
      <c r="M16" s="13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3">
        <v>15</v>
      </c>
      <c r="G19" s="8" t="s">
        <v>27</v>
      </c>
      <c r="H19" s="8" t="s">
        <v>19</v>
      </c>
      <c r="I19" s="13">
        <v>30</v>
      </c>
      <c r="J19" s="8" t="s">
        <v>19</v>
      </c>
      <c r="K19" s="13">
        <v>20</v>
      </c>
      <c r="L19" s="13">
        <v>7</v>
      </c>
      <c r="M19" s="13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3">
        <v>15</v>
      </c>
      <c r="G22" s="8" t="s">
        <v>20</v>
      </c>
      <c r="H22" s="8" t="s">
        <v>19</v>
      </c>
      <c r="I22" s="13">
        <v>30</v>
      </c>
      <c r="J22" s="8" t="s">
        <v>19</v>
      </c>
      <c r="K22" s="13">
        <v>20</v>
      </c>
      <c r="L22" s="13">
        <v>3</v>
      </c>
      <c r="M22" s="13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3">
        <v>15</v>
      </c>
      <c r="G25" s="8" t="s">
        <v>24</v>
      </c>
      <c r="H25" s="8" t="s">
        <v>19</v>
      </c>
      <c r="I25" s="13">
        <v>30</v>
      </c>
      <c r="J25" s="8" t="s">
        <v>19</v>
      </c>
      <c r="K25" s="13">
        <v>20</v>
      </c>
      <c r="L25" s="13">
        <v>20</v>
      </c>
      <c r="M25" s="13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3">
        <v>15</v>
      </c>
      <c r="G28" s="8" t="s">
        <v>20</v>
      </c>
      <c r="H28" s="8" t="s">
        <v>19</v>
      </c>
      <c r="I28" s="13">
        <v>30</v>
      </c>
      <c r="J28" s="8" t="s">
        <v>19</v>
      </c>
      <c r="K28" s="13">
        <v>20</v>
      </c>
      <c r="L28" s="13">
        <v>5</v>
      </c>
      <c r="M28" s="13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3">
        <v>15</v>
      </c>
      <c r="G31" s="8" t="s">
        <v>27</v>
      </c>
      <c r="H31" s="8" t="s">
        <v>19</v>
      </c>
      <c r="I31" s="13">
        <v>30</v>
      </c>
      <c r="J31" s="8" t="s">
        <v>19</v>
      </c>
      <c r="K31" s="13">
        <v>20</v>
      </c>
      <c r="L31" s="13">
        <v>7</v>
      </c>
      <c r="M31" s="13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3">
        <v>15</v>
      </c>
      <c r="G34" s="8" t="s">
        <v>20</v>
      </c>
      <c r="H34" s="8" t="s">
        <v>19</v>
      </c>
      <c r="I34" s="13">
        <v>30</v>
      </c>
      <c r="J34" s="8" t="s">
        <v>19</v>
      </c>
      <c r="K34" s="13">
        <v>20</v>
      </c>
      <c r="L34" s="13">
        <v>3</v>
      </c>
      <c r="M34" s="13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3">
        <v>15</v>
      </c>
      <c r="G38" s="8" t="s">
        <v>27</v>
      </c>
      <c r="H38" s="8" t="s">
        <v>19</v>
      </c>
      <c r="I38" s="13">
        <v>30</v>
      </c>
      <c r="J38" s="8" t="s">
        <v>19</v>
      </c>
      <c r="K38" s="13">
        <v>20</v>
      </c>
      <c r="L38" s="13">
        <v>7</v>
      </c>
      <c r="M38" s="13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3">
        <v>15</v>
      </c>
      <c r="G41" s="8" t="s">
        <v>20</v>
      </c>
      <c r="H41" s="8" t="s">
        <v>19</v>
      </c>
      <c r="I41" s="13">
        <v>30</v>
      </c>
      <c r="J41" s="8" t="s">
        <v>19</v>
      </c>
      <c r="K41" s="13">
        <v>20</v>
      </c>
      <c r="L41" s="13">
        <v>15</v>
      </c>
      <c r="M41" s="13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3">
        <v>15</v>
      </c>
      <c r="G44" s="8" t="s">
        <v>27</v>
      </c>
      <c r="H44" s="8" t="s">
        <v>19</v>
      </c>
      <c r="I44" s="13">
        <v>30</v>
      </c>
      <c r="J44" s="8" t="s">
        <v>19</v>
      </c>
      <c r="K44" s="13">
        <v>20</v>
      </c>
      <c r="L44" s="13">
        <v>20</v>
      </c>
      <c r="M44" s="13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3">
        <v>15</v>
      </c>
      <c r="G47" s="8" t="s">
        <v>24</v>
      </c>
      <c r="H47" s="8" t="s">
        <v>19</v>
      </c>
      <c r="I47" s="13">
        <v>30</v>
      </c>
      <c r="J47" s="8" t="s">
        <v>19</v>
      </c>
      <c r="K47" s="13">
        <v>20</v>
      </c>
      <c r="L47" s="13">
        <v>5</v>
      </c>
      <c r="M47" s="13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3">
        <v>15</v>
      </c>
      <c r="G50" s="8" t="s">
        <v>20</v>
      </c>
      <c r="H50" s="8" t="s">
        <v>19</v>
      </c>
      <c r="I50" s="13">
        <v>30</v>
      </c>
      <c r="J50" s="8" t="s">
        <v>19</v>
      </c>
      <c r="K50" s="13">
        <v>20</v>
      </c>
      <c r="L50" s="13">
        <v>3</v>
      </c>
      <c r="M50" s="13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3">
        <v>15</v>
      </c>
      <c r="G53" s="8" t="s">
        <v>27</v>
      </c>
      <c r="H53" s="8" t="s">
        <v>19</v>
      </c>
      <c r="I53" s="13">
        <v>30</v>
      </c>
      <c r="J53" s="8" t="s">
        <v>19</v>
      </c>
      <c r="K53" s="13">
        <v>20</v>
      </c>
      <c r="L53" s="13">
        <v>7</v>
      </c>
      <c r="M53" s="13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3">
        <v>15</v>
      </c>
      <c r="G56" s="8" t="s">
        <v>20</v>
      </c>
      <c r="H56" s="8" t="s">
        <v>19</v>
      </c>
      <c r="I56" s="13">
        <v>30</v>
      </c>
      <c r="J56" s="8" t="s">
        <v>19</v>
      </c>
      <c r="K56" s="13">
        <v>20</v>
      </c>
      <c r="L56" s="13">
        <v>20</v>
      </c>
      <c r="M56" s="13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3">
        <v>15</v>
      </c>
      <c r="G59" s="8" t="s">
        <v>24</v>
      </c>
      <c r="H59" s="8" t="s">
        <v>19</v>
      </c>
      <c r="I59" s="13">
        <v>30</v>
      </c>
      <c r="J59" s="8" t="s">
        <v>19</v>
      </c>
      <c r="K59" s="13">
        <v>20</v>
      </c>
      <c r="L59" s="13">
        <v>3</v>
      </c>
      <c r="M59" s="13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3">
        <v>15</v>
      </c>
      <c r="G62" s="8" t="s">
        <v>20</v>
      </c>
      <c r="H62" s="8" t="s">
        <v>19</v>
      </c>
      <c r="I62" s="13">
        <v>30</v>
      </c>
      <c r="J62" s="8" t="s">
        <v>19</v>
      </c>
      <c r="K62" s="13">
        <v>20</v>
      </c>
      <c r="L62" s="13">
        <v>5</v>
      </c>
      <c r="M62" s="13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3">
        <v>15</v>
      </c>
      <c r="G65" s="8" t="s">
        <v>27</v>
      </c>
      <c r="H65" s="8" t="s">
        <v>19</v>
      </c>
      <c r="I65" s="13">
        <v>30</v>
      </c>
      <c r="J65" s="8" t="s">
        <v>19</v>
      </c>
      <c r="K65" s="13">
        <v>20</v>
      </c>
      <c r="L65" s="13">
        <v>20</v>
      </c>
      <c r="M65" s="13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3">
        <v>15</v>
      </c>
      <c r="G68" s="8" t="s">
        <v>27</v>
      </c>
      <c r="H68" s="8" t="s">
        <v>19</v>
      </c>
      <c r="I68" s="13">
        <v>30</v>
      </c>
      <c r="J68" s="8" t="s">
        <v>19</v>
      </c>
      <c r="K68" s="13">
        <v>20</v>
      </c>
      <c r="L68" s="13">
        <v>7</v>
      </c>
      <c r="M68" s="13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3">
        <v>15</v>
      </c>
      <c r="G71" s="8" t="s">
        <v>20</v>
      </c>
      <c r="H71" s="8" t="s">
        <v>19</v>
      </c>
      <c r="I71" s="13">
        <v>30</v>
      </c>
      <c r="J71" s="8" t="s">
        <v>19</v>
      </c>
      <c r="K71" s="13">
        <v>20</v>
      </c>
      <c r="L71" s="13">
        <v>15</v>
      </c>
      <c r="M71" s="13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3">
        <v>15</v>
      </c>
      <c r="G74" s="8" t="s">
        <v>27</v>
      </c>
      <c r="H74" s="8" t="s">
        <v>19</v>
      </c>
      <c r="I74" s="13">
        <v>30</v>
      </c>
      <c r="J74" s="8" t="s">
        <v>19</v>
      </c>
      <c r="K74" s="13">
        <v>20</v>
      </c>
      <c r="L74" s="13">
        <v>20</v>
      </c>
      <c r="M74" s="13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3">
        <v>15</v>
      </c>
      <c r="G77" s="8" t="s">
        <v>24</v>
      </c>
      <c r="H77" s="8" t="s">
        <v>19</v>
      </c>
      <c r="I77" s="13">
        <v>30</v>
      </c>
      <c r="J77" s="8" t="s">
        <v>19</v>
      </c>
      <c r="K77" s="13">
        <v>20</v>
      </c>
      <c r="L77" s="13">
        <v>5</v>
      </c>
      <c r="M77" s="13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3">
        <v>15</v>
      </c>
      <c r="G80" s="8" t="s">
        <v>20</v>
      </c>
      <c r="H80" s="8" t="s">
        <v>19</v>
      </c>
      <c r="I80" s="13">
        <v>30</v>
      </c>
      <c r="J80" s="8" t="s">
        <v>19</v>
      </c>
      <c r="K80" s="13">
        <v>20</v>
      </c>
      <c r="L80" s="13">
        <v>3</v>
      </c>
      <c r="M80" s="13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3">
        <v>15</v>
      </c>
      <c r="G83" s="8" t="s">
        <v>27</v>
      </c>
      <c r="H83" s="8" t="s">
        <v>19</v>
      </c>
      <c r="I83" s="13">
        <v>30</v>
      </c>
      <c r="J83" s="8" t="s">
        <v>19</v>
      </c>
      <c r="K83" s="13">
        <v>20</v>
      </c>
      <c r="L83" s="13">
        <v>7</v>
      </c>
      <c r="M83" s="13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3">
        <v>15</v>
      </c>
      <c r="G86" s="8" t="s">
        <v>20</v>
      </c>
      <c r="H86" s="8" t="s">
        <v>19</v>
      </c>
      <c r="I86" s="13">
        <v>30</v>
      </c>
      <c r="J86" s="8" t="s">
        <v>19</v>
      </c>
      <c r="K86" s="13">
        <v>20</v>
      </c>
      <c r="L86" s="13">
        <v>20</v>
      </c>
      <c r="M86" s="13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3">
        <v>15</v>
      </c>
      <c r="G89" s="8" t="s">
        <v>24</v>
      </c>
      <c r="H89" s="8" t="s">
        <v>19</v>
      </c>
      <c r="I89" s="13">
        <v>30</v>
      </c>
      <c r="J89" s="8" t="s">
        <v>19</v>
      </c>
      <c r="K89" s="13">
        <v>20</v>
      </c>
      <c r="L89" s="13">
        <v>3</v>
      </c>
      <c r="M89" s="13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3">
        <v>15</v>
      </c>
      <c r="G92" s="8" t="s">
        <v>20</v>
      </c>
      <c r="H92" s="8" t="s">
        <v>19</v>
      </c>
      <c r="I92" s="13">
        <v>30</v>
      </c>
      <c r="J92" s="8" t="s">
        <v>19</v>
      </c>
      <c r="K92" s="13">
        <v>20</v>
      </c>
      <c r="L92" s="13">
        <v>5</v>
      </c>
      <c r="M92" s="13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3">
        <v>15</v>
      </c>
      <c r="G95" s="8" t="s">
        <v>27</v>
      </c>
      <c r="H95" s="8" t="s">
        <v>19</v>
      </c>
      <c r="I95" s="13">
        <v>30</v>
      </c>
      <c r="J95" s="8" t="s">
        <v>19</v>
      </c>
      <c r="K95" s="13">
        <v>20</v>
      </c>
      <c r="L95" s="13">
        <v>20</v>
      </c>
      <c r="M95" s="13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3">
        <v>15</v>
      </c>
      <c r="G98" s="8" t="s">
        <v>20</v>
      </c>
      <c r="H98" s="8" t="s">
        <v>19</v>
      </c>
      <c r="I98" s="13">
        <v>30</v>
      </c>
      <c r="J98" s="8" t="s">
        <v>19</v>
      </c>
      <c r="K98" s="13">
        <v>20</v>
      </c>
      <c r="L98" s="13">
        <v>7</v>
      </c>
      <c r="M98" s="13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3">
        <v>15</v>
      </c>
      <c r="G101" s="8" t="s">
        <v>20</v>
      </c>
      <c r="H101" s="8" t="s">
        <v>19</v>
      </c>
      <c r="I101" s="13">
        <v>30</v>
      </c>
      <c r="J101" s="8" t="s">
        <v>19</v>
      </c>
      <c r="K101" s="13">
        <v>20</v>
      </c>
      <c r="L101" s="13">
        <v>15</v>
      </c>
      <c r="M101" s="13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3">
        <v>15</v>
      </c>
      <c r="G104" s="8" t="s">
        <v>27</v>
      </c>
      <c r="H104" s="8" t="s">
        <v>19</v>
      </c>
      <c r="I104" s="13">
        <v>30</v>
      </c>
      <c r="J104" s="8" t="s">
        <v>19</v>
      </c>
      <c r="K104" s="13">
        <v>20</v>
      </c>
      <c r="L104" s="13">
        <v>20</v>
      </c>
      <c r="M104" s="13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3">
        <v>15</v>
      </c>
      <c r="G108" s="8" t="s">
        <v>27</v>
      </c>
      <c r="H108" s="8" t="s">
        <v>19</v>
      </c>
      <c r="I108" s="13">
        <v>30</v>
      </c>
      <c r="J108" s="8" t="s">
        <v>19</v>
      </c>
      <c r="K108" s="13">
        <v>20</v>
      </c>
      <c r="L108" s="13">
        <v>7</v>
      </c>
      <c r="M108" s="13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3">
        <v>15</v>
      </c>
      <c r="G111" s="8" t="s">
        <v>20</v>
      </c>
      <c r="H111" s="8" t="s">
        <v>19</v>
      </c>
      <c r="I111" s="13">
        <v>30</v>
      </c>
      <c r="J111" s="8" t="s">
        <v>19</v>
      </c>
      <c r="K111" s="13">
        <v>20</v>
      </c>
      <c r="L111" s="13">
        <v>15</v>
      </c>
      <c r="M111" s="13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3">
        <v>15</v>
      </c>
      <c r="G114" s="8" t="s">
        <v>27</v>
      </c>
      <c r="H114" s="8" t="s">
        <v>19</v>
      </c>
      <c r="I114" s="13">
        <v>30</v>
      </c>
      <c r="J114" s="8" t="s">
        <v>19</v>
      </c>
      <c r="K114" s="13">
        <v>20</v>
      </c>
      <c r="L114" s="13">
        <v>20</v>
      </c>
      <c r="M114" s="13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3">
        <v>15</v>
      </c>
      <c r="G117" s="8" t="s">
        <v>24</v>
      </c>
      <c r="H117" s="8" t="s">
        <v>19</v>
      </c>
      <c r="I117" s="13">
        <v>30</v>
      </c>
      <c r="J117" s="8" t="s">
        <v>19</v>
      </c>
      <c r="K117" s="13">
        <v>20</v>
      </c>
      <c r="L117" s="13">
        <v>5</v>
      </c>
      <c r="M117" s="13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3">
        <v>15</v>
      </c>
      <c r="G120" s="8" t="s">
        <v>20</v>
      </c>
      <c r="H120" s="8" t="s">
        <v>19</v>
      </c>
      <c r="I120" s="13">
        <v>30</v>
      </c>
      <c r="J120" s="8" t="s">
        <v>19</v>
      </c>
      <c r="K120" s="13">
        <v>20</v>
      </c>
      <c r="L120" s="13">
        <v>3</v>
      </c>
      <c r="M120" s="13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3">
        <v>15</v>
      </c>
      <c r="G123" s="8" t="s">
        <v>27</v>
      </c>
      <c r="H123" s="8" t="s">
        <v>19</v>
      </c>
      <c r="I123" s="13">
        <v>30</v>
      </c>
      <c r="J123" s="8" t="s">
        <v>19</v>
      </c>
      <c r="K123" s="13">
        <v>20</v>
      </c>
      <c r="L123" s="13">
        <v>7</v>
      </c>
      <c r="M123" s="13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3">
        <v>15</v>
      </c>
      <c r="G126" s="8" t="s">
        <v>20</v>
      </c>
      <c r="H126" s="8" t="s">
        <v>19</v>
      </c>
      <c r="I126" s="13">
        <v>30</v>
      </c>
      <c r="J126" s="8" t="s">
        <v>19</v>
      </c>
      <c r="K126" s="13">
        <v>20</v>
      </c>
      <c r="L126" s="13">
        <v>20</v>
      </c>
      <c r="M126" s="13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3">
        <v>15</v>
      </c>
      <c r="G129" s="8" t="s">
        <v>24</v>
      </c>
      <c r="H129" s="8" t="s">
        <v>19</v>
      </c>
      <c r="I129" s="13">
        <v>30</v>
      </c>
      <c r="J129" s="8" t="s">
        <v>19</v>
      </c>
      <c r="K129" s="13">
        <v>20</v>
      </c>
      <c r="L129" s="13">
        <v>3</v>
      </c>
      <c r="M129" s="13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3">
        <v>15</v>
      </c>
      <c r="G132" s="8" t="s">
        <v>20</v>
      </c>
      <c r="H132" s="8" t="s">
        <v>19</v>
      </c>
      <c r="I132" s="13">
        <v>30</v>
      </c>
      <c r="J132" s="8" t="s">
        <v>19</v>
      </c>
      <c r="K132" s="13">
        <v>20</v>
      </c>
      <c r="L132" s="13">
        <v>15</v>
      </c>
      <c r="M132" s="13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3">
        <v>15</v>
      </c>
      <c r="G135" s="8" t="s">
        <v>27</v>
      </c>
      <c r="H135" s="8" t="s">
        <v>19</v>
      </c>
      <c r="I135" s="13">
        <v>30</v>
      </c>
      <c r="J135" s="8" t="s">
        <v>19</v>
      </c>
      <c r="K135" s="13">
        <v>20</v>
      </c>
      <c r="L135" s="13">
        <v>7</v>
      </c>
      <c r="M135" s="13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3">
        <v>15</v>
      </c>
      <c r="G138" s="8" t="s">
        <v>27</v>
      </c>
      <c r="H138" s="8" t="s">
        <v>19</v>
      </c>
      <c r="I138" s="13">
        <v>30</v>
      </c>
      <c r="J138" s="8" t="s">
        <v>19</v>
      </c>
      <c r="K138" s="13">
        <v>20</v>
      </c>
      <c r="L138" s="13">
        <v>7</v>
      </c>
      <c r="M138" s="13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3">
        <v>15</v>
      </c>
      <c r="G141" s="8" t="s">
        <v>20</v>
      </c>
      <c r="H141" s="8" t="s">
        <v>19</v>
      </c>
      <c r="I141" s="13">
        <v>30</v>
      </c>
      <c r="J141" s="8" t="s">
        <v>19</v>
      </c>
      <c r="K141" s="13">
        <v>20</v>
      </c>
      <c r="L141" s="13">
        <v>15</v>
      </c>
      <c r="M141" s="13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3">
        <v>15</v>
      </c>
      <c r="G144" s="8" t="s">
        <v>27</v>
      </c>
      <c r="H144" s="8" t="s">
        <v>19</v>
      </c>
      <c r="I144" s="13">
        <v>30</v>
      </c>
      <c r="J144" s="8" t="s">
        <v>19</v>
      </c>
      <c r="K144" s="13">
        <v>20</v>
      </c>
      <c r="L144" s="13">
        <v>20</v>
      </c>
      <c r="M144" s="13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3">
        <v>15</v>
      </c>
      <c r="G147" s="8" t="s">
        <v>24</v>
      </c>
      <c r="H147" s="8" t="s">
        <v>19</v>
      </c>
      <c r="I147" s="13">
        <v>30</v>
      </c>
      <c r="J147" s="8" t="s">
        <v>19</v>
      </c>
      <c r="K147" s="13">
        <v>20</v>
      </c>
      <c r="L147" s="13">
        <v>5</v>
      </c>
      <c r="M147" s="13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3">
        <v>15</v>
      </c>
      <c r="G150" s="8" t="s">
        <v>20</v>
      </c>
      <c r="H150" s="8" t="s">
        <v>19</v>
      </c>
      <c r="I150" s="13">
        <v>30</v>
      </c>
      <c r="J150" s="8" t="s">
        <v>19</v>
      </c>
      <c r="K150" s="13">
        <v>20</v>
      </c>
      <c r="L150" s="13">
        <v>3</v>
      </c>
      <c r="M150" s="13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3">
        <v>15</v>
      </c>
      <c r="G153" s="8" t="s">
        <v>27</v>
      </c>
      <c r="H153" s="8" t="s">
        <v>19</v>
      </c>
      <c r="I153" s="13">
        <v>30</v>
      </c>
      <c r="J153" s="8" t="s">
        <v>19</v>
      </c>
      <c r="K153" s="13">
        <v>20</v>
      </c>
      <c r="L153" s="13">
        <v>7</v>
      </c>
      <c r="M153" s="13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3">
        <v>15</v>
      </c>
      <c r="G156" s="8" t="s">
        <v>20</v>
      </c>
      <c r="H156" s="8" t="s">
        <v>19</v>
      </c>
      <c r="I156" s="13">
        <v>30</v>
      </c>
      <c r="J156" s="8" t="s">
        <v>19</v>
      </c>
      <c r="K156" s="13">
        <v>20</v>
      </c>
      <c r="L156" s="13">
        <v>20</v>
      </c>
      <c r="M156" s="13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3">
        <v>15</v>
      </c>
      <c r="G159" s="8" t="s">
        <v>24</v>
      </c>
      <c r="H159" s="8" t="s">
        <v>19</v>
      </c>
      <c r="I159" s="13">
        <v>30</v>
      </c>
      <c r="J159" s="8" t="s">
        <v>19</v>
      </c>
      <c r="K159" s="13">
        <v>20</v>
      </c>
      <c r="L159" s="13">
        <v>3</v>
      </c>
      <c r="M159" s="13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3">
        <v>15</v>
      </c>
      <c r="G162" s="8" t="s">
        <v>20</v>
      </c>
      <c r="H162" s="8" t="s">
        <v>19</v>
      </c>
      <c r="I162" s="13">
        <v>30</v>
      </c>
      <c r="J162" s="8" t="s">
        <v>19</v>
      </c>
      <c r="K162" s="13">
        <v>20</v>
      </c>
      <c r="L162" s="13">
        <v>15</v>
      </c>
      <c r="M162" s="13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3">
        <v>15</v>
      </c>
      <c r="G165" s="8" t="s">
        <v>27</v>
      </c>
      <c r="H165" s="8" t="s">
        <v>19</v>
      </c>
      <c r="I165" s="13">
        <v>30</v>
      </c>
      <c r="J165" s="8" t="s">
        <v>19</v>
      </c>
      <c r="K165" s="13">
        <v>20</v>
      </c>
      <c r="L165" s="13">
        <v>7</v>
      </c>
      <c r="M165" s="13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3">
        <v>15</v>
      </c>
      <c r="G168" s="8" t="s">
        <v>20</v>
      </c>
      <c r="H168" s="8" t="s">
        <v>19</v>
      </c>
      <c r="I168" s="13">
        <v>30</v>
      </c>
      <c r="J168" s="8" t="s">
        <v>19</v>
      </c>
      <c r="K168" s="13">
        <v>20</v>
      </c>
      <c r="L168" s="13">
        <v>20</v>
      </c>
      <c r="M168" s="13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3">
        <v>15</v>
      </c>
      <c r="G171" s="8" t="s">
        <v>24</v>
      </c>
      <c r="H171" s="8" t="s">
        <v>19</v>
      </c>
      <c r="I171" s="13">
        <v>30</v>
      </c>
      <c r="J171" s="8" t="s">
        <v>19</v>
      </c>
      <c r="K171" s="13">
        <v>20</v>
      </c>
      <c r="L171" s="13">
        <v>5</v>
      </c>
      <c r="M171" s="13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3">
        <v>15</v>
      </c>
      <c r="G174" s="8" t="s">
        <v>20</v>
      </c>
      <c r="H174" s="8" t="s">
        <v>19</v>
      </c>
      <c r="I174" s="13">
        <v>30</v>
      </c>
      <c r="J174" s="8" t="s">
        <v>19</v>
      </c>
      <c r="K174" s="13">
        <v>20</v>
      </c>
      <c r="L174" s="13">
        <v>3</v>
      </c>
      <c r="M174" s="13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3">
        <v>15</v>
      </c>
      <c r="G178" s="8" t="s">
        <v>27</v>
      </c>
      <c r="H178" s="8" t="s">
        <v>19</v>
      </c>
      <c r="I178" s="13">
        <v>30</v>
      </c>
      <c r="J178" s="8" t="s">
        <v>19</v>
      </c>
      <c r="K178" s="13">
        <v>20</v>
      </c>
      <c r="L178" s="13">
        <v>7</v>
      </c>
      <c r="M178" s="13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3">
        <v>15</v>
      </c>
      <c r="G181" s="8" t="s">
        <v>20</v>
      </c>
      <c r="H181" s="8" t="s">
        <v>19</v>
      </c>
      <c r="I181" s="13">
        <v>30</v>
      </c>
      <c r="J181" s="8" t="s">
        <v>19</v>
      </c>
      <c r="K181" s="13">
        <v>20</v>
      </c>
      <c r="L181" s="13">
        <v>15</v>
      </c>
      <c r="M181" s="13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3">
        <v>15</v>
      </c>
      <c r="G184" s="8" t="s">
        <v>27</v>
      </c>
      <c r="H184" s="8" t="s">
        <v>19</v>
      </c>
      <c r="I184" s="13">
        <v>30</v>
      </c>
      <c r="J184" s="8" t="s">
        <v>19</v>
      </c>
      <c r="K184" s="13">
        <v>20</v>
      </c>
      <c r="L184" s="13">
        <v>20</v>
      </c>
      <c r="M184" s="13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3">
        <v>15</v>
      </c>
      <c r="G187" s="8" t="s">
        <v>24</v>
      </c>
      <c r="H187" s="8" t="s">
        <v>19</v>
      </c>
      <c r="I187" s="13">
        <v>30</v>
      </c>
      <c r="J187" s="8" t="s">
        <v>19</v>
      </c>
      <c r="K187" s="13">
        <v>20</v>
      </c>
      <c r="L187" s="13">
        <v>5</v>
      </c>
      <c r="M187" s="13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3">
        <v>15</v>
      </c>
      <c r="G190" s="8" t="s">
        <v>20</v>
      </c>
      <c r="H190" s="8" t="s">
        <v>19</v>
      </c>
      <c r="I190" s="13">
        <v>30</v>
      </c>
      <c r="J190" s="8" t="s">
        <v>19</v>
      </c>
      <c r="K190" s="13">
        <v>20</v>
      </c>
      <c r="L190" s="13">
        <v>3</v>
      </c>
      <c r="M190" s="13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3">
        <v>15</v>
      </c>
      <c r="G193" s="8" t="s">
        <v>27</v>
      </c>
      <c r="H193" s="8" t="s">
        <v>19</v>
      </c>
      <c r="I193" s="13">
        <v>30</v>
      </c>
      <c r="J193" s="8" t="s">
        <v>19</v>
      </c>
      <c r="K193" s="13">
        <v>20</v>
      </c>
      <c r="L193" s="13">
        <v>7</v>
      </c>
      <c r="M193" s="13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3">
        <v>15</v>
      </c>
      <c r="G196" s="8" t="s">
        <v>20</v>
      </c>
      <c r="H196" s="8" t="s">
        <v>19</v>
      </c>
      <c r="I196" s="13">
        <v>30</v>
      </c>
      <c r="J196" s="8" t="s">
        <v>19</v>
      </c>
      <c r="K196" s="13">
        <v>20</v>
      </c>
      <c r="L196" s="13">
        <v>20</v>
      </c>
      <c r="M196" s="13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3">
        <v>15</v>
      </c>
      <c r="G199" s="8" t="s">
        <v>24</v>
      </c>
      <c r="H199" s="8" t="s">
        <v>19</v>
      </c>
      <c r="I199" s="13">
        <v>30</v>
      </c>
      <c r="J199" s="8" t="s">
        <v>19</v>
      </c>
      <c r="K199" s="13">
        <v>20</v>
      </c>
      <c r="L199" s="13">
        <v>3</v>
      </c>
      <c r="M199" s="13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3">
        <v>15</v>
      </c>
      <c r="G202" s="8" t="s">
        <v>20</v>
      </c>
      <c r="H202" s="8" t="s">
        <v>19</v>
      </c>
      <c r="I202" s="13">
        <v>30</v>
      </c>
      <c r="J202" s="8" t="s">
        <v>19</v>
      </c>
      <c r="K202" s="13">
        <v>20</v>
      </c>
      <c r="L202" s="13">
        <v>15</v>
      </c>
      <c r="M202" s="13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3">
        <v>15</v>
      </c>
      <c r="G205" s="8" t="s">
        <v>27</v>
      </c>
      <c r="H205" s="8" t="s">
        <v>19</v>
      </c>
      <c r="I205" s="13">
        <v>30</v>
      </c>
      <c r="J205" s="8" t="s">
        <v>19</v>
      </c>
      <c r="K205" s="13">
        <v>20</v>
      </c>
      <c r="L205" s="13">
        <v>7</v>
      </c>
      <c r="M205" s="13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3">
        <v>15</v>
      </c>
      <c r="G208" s="8" t="s">
        <v>27</v>
      </c>
      <c r="H208" s="8" t="s">
        <v>19</v>
      </c>
      <c r="I208" s="13">
        <v>30</v>
      </c>
      <c r="J208" s="8" t="s">
        <v>19</v>
      </c>
      <c r="K208" s="13">
        <v>20</v>
      </c>
      <c r="L208" s="13">
        <v>7</v>
      </c>
      <c r="M208" s="13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3">
        <v>15</v>
      </c>
      <c r="G211" s="8" t="s">
        <v>20</v>
      </c>
      <c r="H211" s="8" t="s">
        <v>19</v>
      </c>
      <c r="I211" s="13">
        <v>30</v>
      </c>
      <c r="J211" s="8" t="s">
        <v>19</v>
      </c>
      <c r="K211" s="13">
        <v>20</v>
      </c>
      <c r="L211" s="13">
        <v>15</v>
      </c>
      <c r="M211" s="13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3">
        <v>15</v>
      </c>
      <c r="G214" s="8" t="s">
        <v>27</v>
      </c>
      <c r="H214" s="8" t="s">
        <v>19</v>
      </c>
      <c r="I214" s="13">
        <v>30</v>
      </c>
      <c r="J214" s="8" t="s">
        <v>19</v>
      </c>
      <c r="K214" s="13">
        <v>20</v>
      </c>
      <c r="L214" s="13">
        <v>20</v>
      </c>
      <c r="M214" s="13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3">
        <v>15</v>
      </c>
      <c r="G217" s="8" t="s">
        <v>24</v>
      </c>
      <c r="H217" s="8" t="s">
        <v>19</v>
      </c>
      <c r="I217" s="13">
        <v>30</v>
      </c>
      <c r="J217" s="8" t="s">
        <v>19</v>
      </c>
      <c r="K217" s="13">
        <v>20</v>
      </c>
      <c r="L217" s="13">
        <v>5</v>
      </c>
      <c r="M217" s="13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3">
        <v>15</v>
      </c>
      <c r="G220" s="8" t="s">
        <v>20</v>
      </c>
      <c r="H220" s="8" t="s">
        <v>19</v>
      </c>
      <c r="I220" s="13">
        <v>30</v>
      </c>
      <c r="J220" s="8" t="s">
        <v>19</v>
      </c>
      <c r="K220" s="13">
        <v>20</v>
      </c>
      <c r="L220" s="13">
        <v>3</v>
      </c>
      <c r="M220" s="13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3">
        <v>15</v>
      </c>
      <c r="G223" s="8" t="s">
        <v>27</v>
      </c>
      <c r="H223" s="8" t="s">
        <v>19</v>
      </c>
      <c r="I223" s="13">
        <v>30</v>
      </c>
      <c r="J223" s="8" t="s">
        <v>19</v>
      </c>
      <c r="K223" s="13">
        <v>20</v>
      </c>
      <c r="L223" s="13">
        <v>7</v>
      </c>
      <c r="M223" s="13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3">
        <v>15</v>
      </c>
      <c r="G226" s="8" t="s">
        <v>20</v>
      </c>
      <c r="H226" s="8" t="s">
        <v>19</v>
      </c>
      <c r="I226" s="13">
        <v>30</v>
      </c>
      <c r="J226" s="8" t="s">
        <v>19</v>
      </c>
      <c r="K226" s="13">
        <v>20</v>
      </c>
      <c r="L226" s="13">
        <v>20</v>
      </c>
      <c r="M226" s="13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3">
        <v>15</v>
      </c>
      <c r="G229" s="8" t="s">
        <v>24</v>
      </c>
      <c r="H229" s="8" t="s">
        <v>19</v>
      </c>
      <c r="I229" s="13">
        <v>30</v>
      </c>
      <c r="J229" s="8" t="s">
        <v>19</v>
      </c>
      <c r="K229" s="13">
        <v>20</v>
      </c>
      <c r="L229" s="13">
        <v>3</v>
      </c>
      <c r="M229" s="13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3">
        <v>15</v>
      </c>
      <c r="G232" s="8" t="s">
        <v>20</v>
      </c>
      <c r="H232" s="8" t="s">
        <v>19</v>
      </c>
      <c r="I232" s="13">
        <v>30</v>
      </c>
      <c r="J232" s="8" t="s">
        <v>19</v>
      </c>
      <c r="K232" s="13">
        <v>20</v>
      </c>
      <c r="L232" s="13">
        <v>15</v>
      </c>
      <c r="M232" s="13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3">
        <v>15</v>
      </c>
      <c r="G235" s="8" t="s">
        <v>27</v>
      </c>
      <c r="H235" s="8" t="s">
        <v>19</v>
      </c>
      <c r="I235" s="13">
        <v>30</v>
      </c>
      <c r="J235" s="8" t="s">
        <v>19</v>
      </c>
      <c r="K235" s="13">
        <v>20</v>
      </c>
      <c r="L235" s="13">
        <v>7</v>
      </c>
      <c r="M235" s="13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3">
        <v>15</v>
      </c>
      <c r="G238" s="8" t="s">
        <v>20</v>
      </c>
      <c r="H238" s="8" t="s">
        <v>19</v>
      </c>
      <c r="I238" s="13">
        <v>30</v>
      </c>
      <c r="J238" s="8" t="s">
        <v>19</v>
      </c>
      <c r="K238" s="13">
        <v>20</v>
      </c>
      <c r="L238" s="13">
        <v>15</v>
      </c>
      <c r="M238" s="13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3">
        <v>15</v>
      </c>
      <c r="G241" s="8" t="s">
        <v>24</v>
      </c>
      <c r="H241" s="8" t="s">
        <v>19</v>
      </c>
      <c r="I241" s="13">
        <v>30</v>
      </c>
      <c r="J241" s="8" t="s">
        <v>19</v>
      </c>
      <c r="K241" s="13">
        <v>20</v>
      </c>
      <c r="L241" s="13">
        <v>5</v>
      </c>
      <c r="M241" s="13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3">
        <v>15</v>
      </c>
      <c r="G244" s="8" t="s">
        <v>20</v>
      </c>
      <c r="H244" s="8" t="s">
        <v>19</v>
      </c>
      <c r="I244" s="13">
        <v>30</v>
      </c>
      <c r="J244" s="8" t="s">
        <v>19</v>
      </c>
      <c r="K244" s="13">
        <v>20</v>
      </c>
      <c r="L244" s="13">
        <v>3</v>
      </c>
      <c r="M244" s="13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3">
        <v>15</v>
      </c>
      <c r="G247" s="8" t="s">
        <v>27</v>
      </c>
      <c r="H247" s="8" t="s">
        <v>19</v>
      </c>
      <c r="I247" s="13">
        <v>30</v>
      </c>
      <c r="J247" s="8" t="s">
        <v>19</v>
      </c>
      <c r="K247" s="13">
        <v>20</v>
      </c>
      <c r="L247" s="13">
        <v>7</v>
      </c>
      <c r="M247" s="13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3">
        <v>15</v>
      </c>
      <c r="G250" s="8" t="s">
        <v>20</v>
      </c>
      <c r="H250" s="8" t="s">
        <v>19</v>
      </c>
      <c r="I250" s="13">
        <v>30</v>
      </c>
      <c r="J250" s="8" t="s">
        <v>19</v>
      </c>
      <c r="K250" s="13">
        <v>20</v>
      </c>
      <c r="L250" s="13">
        <v>20</v>
      </c>
      <c r="M250" s="13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3">
        <v>15</v>
      </c>
      <c r="G253" s="8" t="s">
        <v>24</v>
      </c>
      <c r="H253" s="8" t="s">
        <v>19</v>
      </c>
      <c r="I253" s="13">
        <v>30</v>
      </c>
      <c r="J253" s="8" t="s">
        <v>19</v>
      </c>
      <c r="K253" s="13">
        <v>20</v>
      </c>
      <c r="L253" s="13">
        <v>3</v>
      </c>
      <c r="M253" s="13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3">
        <v>15</v>
      </c>
      <c r="G256" s="8" t="s">
        <v>20</v>
      </c>
      <c r="H256" s="8" t="s">
        <v>19</v>
      </c>
      <c r="I256" s="13">
        <v>30</v>
      </c>
      <c r="J256" s="8" t="s">
        <v>19</v>
      </c>
      <c r="K256" s="13">
        <v>20</v>
      </c>
      <c r="L256" s="13">
        <v>15</v>
      </c>
      <c r="M256" s="13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3">
        <v>15</v>
      </c>
      <c r="G258" s="8" t="s">
        <v>27</v>
      </c>
      <c r="H258" s="8" t="s">
        <v>19</v>
      </c>
      <c r="I258" s="13">
        <v>30</v>
      </c>
      <c r="J258" s="8" t="s">
        <v>19</v>
      </c>
      <c r="K258" s="13">
        <v>20</v>
      </c>
      <c r="L258" s="13">
        <v>7</v>
      </c>
      <c r="M258" s="13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3">
        <v>15</v>
      </c>
      <c r="G261" s="8" t="s">
        <v>20</v>
      </c>
      <c r="H261" s="8" t="s">
        <v>19</v>
      </c>
      <c r="I261" s="13">
        <v>30</v>
      </c>
      <c r="J261" s="8" t="s">
        <v>19</v>
      </c>
      <c r="K261" s="13">
        <v>20</v>
      </c>
      <c r="L261" s="13">
        <v>15</v>
      </c>
      <c r="M261" s="13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3">
        <v>15</v>
      </c>
      <c r="G264" s="8" t="s">
        <v>27</v>
      </c>
      <c r="H264" s="8" t="s">
        <v>19</v>
      </c>
      <c r="I264" s="13">
        <v>30</v>
      </c>
      <c r="J264" s="8" t="s">
        <v>19</v>
      </c>
      <c r="K264" s="13">
        <v>20</v>
      </c>
      <c r="L264" s="13">
        <v>20</v>
      </c>
      <c r="M264" s="13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3">
        <v>15</v>
      </c>
      <c r="G267" s="8" t="s">
        <v>24</v>
      </c>
      <c r="H267" s="8" t="s">
        <v>19</v>
      </c>
      <c r="I267" s="13">
        <v>30</v>
      </c>
      <c r="J267" s="8" t="s">
        <v>19</v>
      </c>
      <c r="K267" s="13">
        <v>20</v>
      </c>
      <c r="L267" s="13">
        <v>5</v>
      </c>
      <c r="M267" s="13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3">
        <v>15</v>
      </c>
      <c r="G270" s="8" t="s">
        <v>20</v>
      </c>
      <c r="H270" s="8" t="s">
        <v>19</v>
      </c>
      <c r="I270" s="13">
        <v>30</v>
      </c>
      <c r="J270" s="8" t="s">
        <v>19</v>
      </c>
      <c r="K270" s="13">
        <v>20</v>
      </c>
      <c r="L270" s="13">
        <v>3</v>
      </c>
      <c r="M270" s="13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3">
        <v>15</v>
      </c>
      <c r="G273" s="8" t="s">
        <v>27</v>
      </c>
      <c r="H273" s="8" t="s">
        <v>19</v>
      </c>
      <c r="I273" s="13">
        <v>30</v>
      </c>
      <c r="J273" s="8" t="s">
        <v>19</v>
      </c>
      <c r="K273" s="13">
        <v>20</v>
      </c>
      <c r="L273" s="13">
        <v>7</v>
      </c>
      <c r="M273" s="13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3">
        <v>15</v>
      </c>
      <c r="G276" s="8" t="s">
        <v>20</v>
      </c>
      <c r="H276" s="8" t="s">
        <v>19</v>
      </c>
      <c r="I276" s="13">
        <v>30</v>
      </c>
      <c r="J276" s="8" t="s">
        <v>19</v>
      </c>
      <c r="K276" s="13">
        <v>20</v>
      </c>
      <c r="L276" s="13">
        <v>20</v>
      </c>
      <c r="M276" s="13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3">
        <v>15</v>
      </c>
      <c r="G279" s="8" t="s">
        <v>24</v>
      </c>
      <c r="H279" s="8" t="s">
        <v>19</v>
      </c>
      <c r="I279" s="13">
        <v>30</v>
      </c>
      <c r="J279" s="8" t="s">
        <v>19</v>
      </c>
      <c r="K279" s="13">
        <v>20</v>
      </c>
      <c r="L279" s="13">
        <v>3</v>
      </c>
      <c r="M279" s="13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3">
        <v>15</v>
      </c>
      <c r="G282" s="8" t="s">
        <v>20</v>
      </c>
      <c r="H282" s="8" t="s">
        <v>19</v>
      </c>
      <c r="I282" s="13">
        <v>30</v>
      </c>
      <c r="J282" s="8" t="s">
        <v>19</v>
      </c>
      <c r="K282" s="13">
        <v>20</v>
      </c>
      <c r="L282" s="13">
        <v>15</v>
      </c>
      <c r="M282" s="13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3">
        <v>15</v>
      </c>
      <c r="G285" s="8" t="s">
        <v>27</v>
      </c>
      <c r="H285" s="8" t="s">
        <v>19</v>
      </c>
      <c r="I285" s="13">
        <v>30</v>
      </c>
      <c r="J285" s="8" t="s">
        <v>19</v>
      </c>
      <c r="K285" s="13">
        <v>20</v>
      </c>
      <c r="L285" s="13">
        <v>7</v>
      </c>
      <c r="M285" s="13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3">
        <v>15</v>
      </c>
      <c r="G288" s="8" t="s">
        <v>20</v>
      </c>
      <c r="H288" s="8" t="s">
        <v>19</v>
      </c>
      <c r="I288" s="13">
        <v>30</v>
      </c>
      <c r="J288" s="8" t="s">
        <v>19</v>
      </c>
      <c r="K288" s="13">
        <v>20</v>
      </c>
      <c r="L288" s="13">
        <v>20</v>
      </c>
      <c r="M288" s="13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3">
        <v>15</v>
      </c>
      <c r="G291" s="8" t="s">
        <v>24</v>
      </c>
      <c r="H291" s="8" t="s">
        <v>19</v>
      </c>
      <c r="I291" s="13">
        <v>30</v>
      </c>
      <c r="J291" s="8" t="s">
        <v>19</v>
      </c>
      <c r="K291" s="13">
        <v>20</v>
      </c>
      <c r="L291" s="13">
        <v>5</v>
      </c>
      <c r="M291" s="13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3">
        <v>15</v>
      </c>
      <c r="G294" s="8" t="s">
        <v>20</v>
      </c>
      <c r="H294" s="8" t="s">
        <v>19</v>
      </c>
      <c r="I294" s="13">
        <v>30</v>
      </c>
      <c r="J294" s="8" t="s">
        <v>19</v>
      </c>
      <c r="K294" s="13">
        <v>20</v>
      </c>
      <c r="L294" s="13">
        <v>3</v>
      </c>
      <c r="M294" s="13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4:F38"/>
  <sheetViews>
    <sheetView showGridLines="0" topLeftCell="A16" workbookViewId="0">
      <selection activeCell="G35" sqref="G35"/>
    </sheetView>
  </sheetViews>
  <sheetFormatPr defaultRowHeight="14.4" x14ac:dyDescent="0.3"/>
  <cols>
    <col min="3" max="3" width="16.77734375" bestFit="1" customWidth="1"/>
    <col min="4" max="4" width="25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4" spans="3:4" x14ac:dyDescent="0.3">
      <c r="C4" t="s">
        <v>313</v>
      </c>
    </row>
    <row r="5" spans="3:4" x14ac:dyDescent="0.3">
      <c r="C5" t="s">
        <v>314</v>
      </c>
    </row>
    <row r="6" spans="3:4" x14ac:dyDescent="0.3">
      <c r="C6" s="15" t="s">
        <v>16</v>
      </c>
      <c r="D6" t="s">
        <v>315</v>
      </c>
    </row>
    <row r="8" spans="3:4" x14ac:dyDescent="0.3">
      <c r="C8" s="15" t="s">
        <v>316</v>
      </c>
      <c r="D8" t="s">
        <v>318</v>
      </c>
    </row>
    <row r="9" spans="3:4" x14ac:dyDescent="0.3">
      <c r="C9" s="16" t="s">
        <v>23</v>
      </c>
      <c r="D9" s="14">
        <v>3847</v>
      </c>
    </row>
    <row r="10" spans="3:4" x14ac:dyDescent="0.3">
      <c r="C10" s="16" t="s">
        <v>19</v>
      </c>
      <c r="D10" s="14">
        <v>3786</v>
      </c>
    </row>
    <row r="11" spans="3:4" x14ac:dyDescent="0.3">
      <c r="C11" s="16" t="s">
        <v>317</v>
      </c>
      <c r="D11" s="14">
        <v>7633</v>
      </c>
    </row>
    <row r="15" spans="3:4" x14ac:dyDescent="0.3">
      <c r="C15" t="s">
        <v>320</v>
      </c>
    </row>
    <row r="18" spans="3:6" x14ac:dyDescent="0.3">
      <c r="C18" s="15" t="s">
        <v>16</v>
      </c>
      <c r="D18" t="s">
        <v>315</v>
      </c>
    </row>
    <row r="20" spans="3:6" x14ac:dyDescent="0.3">
      <c r="C20" s="15" t="s">
        <v>316</v>
      </c>
      <c r="D20" t="s">
        <v>321</v>
      </c>
      <c r="F20" s="18">
        <f>GETPIVOTDATA("EA Play Season Pass
Price",$C$20)</f>
        <v>2940</v>
      </c>
    </row>
    <row r="21" spans="3:6" x14ac:dyDescent="0.3">
      <c r="C21" s="16" t="s">
        <v>22</v>
      </c>
      <c r="D21" s="14">
        <v>0</v>
      </c>
    </row>
    <row r="22" spans="3:6" x14ac:dyDescent="0.3">
      <c r="C22" s="16" t="s">
        <v>26</v>
      </c>
      <c r="D22" s="14">
        <v>0</v>
      </c>
    </row>
    <row r="23" spans="3:6" x14ac:dyDescent="0.3">
      <c r="C23" s="16" t="s">
        <v>18</v>
      </c>
      <c r="D23" s="14">
        <v>2940</v>
      </c>
    </row>
    <row r="24" spans="3:6" x14ac:dyDescent="0.3">
      <c r="C24" s="16" t="s">
        <v>317</v>
      </c>
      <c r="D24" s="14">
        <v>2940</v>
      </c>
    </row>
    <row r="29" spans="3:6" x14ac:dyDescent="0.3">
      <c r="C29" t="s">
        <v>322</v>
      </c>
    </row>
    <row r="32" spans="3:6" x14ac:dyDescent="0.3">
      <c r="C32" s="15" t="s">
        <v>16</v>
      </c>
      <c r="D32" t="s">
        <v>315</v>
      </c>
    </row>
    <row r="34" spans="3:6" x14ac:dyDescent="0.3">
      <c r="C34" s="15" t="s">
        <v>316</v>
      </c>
      <c r="D34" t="s">
        <v>323</v>
      </c>
    </row>
    <row r="35" spans="3:6" x14ac:dyDescent="0.3">
      <c r="C35" s="16" t="s">
        <v>22</v>
      </c>
      <c r="D35" s="14">
        <v>0</v>
      </c>
    </row>
    <row r="36" spans="3:6" x14ac:dyDescent="0.3">
      <c r="C36" s="16" t="s">
        <v>26</v>
      </c>
      <c r="D36" s="14">
        <v>1920</v>
      </c>
    </row>
    <row r="37" spans="3:6" x14ac:dyDescent="0.3">
      <c r="C37" s="16" t="s">
        <v>18</v>
      </c>
      <c r="D37" s="14">
        <v>1960</v>
      </c>
      <c r="F37" s="19">
        <f>GETPIVOTDATA("Minecraft Season Pass Price",$C$34)</f>
        <v>3880</v>
      </c>
    </row>
    <row r="38" spans="3:6" x14ac:dyDescent="0.3">
      <c r="C38" s="16" t="s">
        <v>317</v>
      </c>
      <c r="D38" s="14"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V75"/>
  <sheetViews>
    <sheetView showGridLines="0" showRowColHeaders="0" tabSelected="1" zoomScale="80" zoomScaleNormal="80" workbookViewId="0">
      <selection activeCell="V1" sqref="V1"/>
    </sheetView>
  </sheetViews>
  <sheetFormatPr defaultRowHeight="14.4" x14ac:dyDescent="0.3"/>
  <cols>
    <col min="1" max="1" width="29.5546875" style="4" customWidth="1"/>
    <col min="2" max="2" width="11.6640625" customWidth="1"/>
    <col min="8" max="8" width="8.88671875" customWidth="1"/>
    <col min="12" max="12" width="6.5546875" customWidth="1"/>
  </cols>
  <sheetData>
    <row r="1" spans="1:22" ht="14.4" customHeight="1" x14ac:dyDescent="0.3"/>
    <row r="2" spans="1:22" ht="36.6" customHeight="1" x14ac:dyDescent="0.35">
      <c r="B2" s="22" t="s">
        <v>319</v>
      </c>
      <c r="C2" s="20"/>
      <c r="D2" s="20"/>
      <c r="E2" s="20"/>
      <c r="F2" s="20"/>
      <c r="G2" s="20"/>
      <c r="H2" s="20"/>
      <c r="I2" s="20"/>
      <c r="J2" s="20"/>
      <c r="K2" s="20"/>
      <c r="L2" s="21"/>
      <c r="M2" s="21"/>
      <c r="N2" s="21"/>
      <c r="O2" s="21"/>
    </row>
    <row r="3" spans="1:22" ht="14.4" customHeight="1" thickBot="1" x14ac:dyDescent="0.3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22" ht="14.4" customHeight="1" thickTop="1" x14ac:dyDescent="0.3">
      <c r="B4" s="7" t="s">
        <v>325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ht="14.4" customHeight="1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 ht="14.4" customHeight="1" x14ac:dyDescent="0.3">
      <c r="A6" s="23" t="s">
        <v>324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4.4" customHeight="1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ht="14.4" customHeight="1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ht="14.4" customHeight="1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ht="14.4" customHeight="1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2:22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2:22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2:22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2:22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2:22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2:22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2:22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2:22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2:22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2:22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2:22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2:22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2:22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2:22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2:22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2:22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2:22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2:22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2:22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2:22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2:22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2:22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2:22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2:22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2:22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2:22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2:22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2:22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2:22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2:22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2:22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2:22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2:22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2:22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2:22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2:22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2:22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2:22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2:22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2:22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2:22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2:22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2:22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2:22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2:22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2:22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2:22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2:22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2:22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2:22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2:22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2:22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2:22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2:22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2:22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2:22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2:22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2:22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2:22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Sheila Amorim Panciere</cp:lastModifiedBy>
  <dcterms:created xsi:type="dcterms:W3CDTF">2024-12-19T13:13:10Z</dcterms:created>
  <dcterms:modified xsi:type="dcterms:W3CDTF">2026-10-01T13:11:54Z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SIP_Label_fde7aacd-7cc4-4c31-9e6f-7ef306428f09_Enabled">
    <vt:lpwstr>true</vt:lpwstr>
  </property>
  <property fmtid="{D5CDD505-2E9C-101B-9397-08002B2CF9AE}" pid="4" name="MSIP_Label_fde7aacd-7cc4-4c31-9e6f-7ef306428f09_SetDate">
    <vt:lpwstr>2026-09-30T12:52:22Z</vt:lpwstr>
  </property>
  <property fmtid="{D5CDD505-2E9C-101B-9397-08002B2CF9AE}" pid="5" name="MSIP_Label_fde7aacd-7cc4-4c31-9e6f-7ef306428f09_Method">
    <vt:lpwstr>Privileged</vt:lpwstr>
  </property>
  <property fmtid="{D5CDD505-2E9C-101B-9397-08002B2CF9AE}" pid="6" name="MSIP_Label_fde7aacd-7cc4-4c31-9e6f-7ef306428f09_Name">
    <vt:lpwstr>_PUBLICO</vt:lpwstr>
  </property>
  <property fmtid="{D5CDD505-2E9C-101B-9397-08002B2CF9AE}" pid="7" name="MSIP_Label_fde7aacd-7cc4-4c31-9e6f-7ef306428f09_SiteId">
    <vt:lpwstr>ab9bba98-684a-43fb-add8-9c2bebede229</vt:lpwstr>
  </property>
  <property fmtid="{D5CDD505-2E9C-101B-9397-08002B2CF9AE}" pid="8" name="MSIP_Label_fde7aacd-7cc4-4c31-9e6f-7ef306428f09_ActionId">
    <vt:lpwstr>24828c54-a6e3-43b9-9855-18e58d340345</vt:lpwstr>
  </property>
  <property fmtid="{D5CDD505-2E9C-101B-9397-08002B2CF9AE}" pid="9" name="MSIP_Label_fde7aacd-7cc4-4c31-9e6f-7ef306428f09_ContentBits">
    <vt:lpwstr>1</vt:lpwstr>
  </property>
</Properties>
</file>